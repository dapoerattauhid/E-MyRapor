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Job Today\2025\Des 2025\03 Des 2025\"/>
    </mc:Choice>
  </mc:AlternateContent>
  <xr:revisionPtr revIDLastSave="0" documentId="13_ncr:1_{A7C3D798-C2F2-4C78-82CE-A2CE1ECD6B6D}" xr6:coauthVersionLast="47" xr6:coauthVersionMax="47" xr10:uidLastSave="{00000000-0000-0000-0000-000000000000}"/>
  <bookViews>
    <workbookView xWindow="-108" yWindow="-108" windowWidth="23256" windowHeight="12456" xr2:uid="{F10CAA33-4114-40E7-AD91-E9DBD1EC8ED1}"/>
  </bookViews>
  <sheets>
    <sheet name="📁Rapor Umum PAS" sheetId="1" r:id="rId1"/>
  </sheets>
  <externalReferences>
    <externalReference r:id="rId2"/>
  </externalReferences>
  <definedNames>
    <definedName name="id_FOTO">_xlfn.XLOOKUP(#REF!,#REF!,#REF!)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4" i="1" l="1"/>
  <c r="H69" i="1"/>
  <c r="H68" i="1"/>
  <c r="B35" i="1"/>
  <c r="B33" i="1"/>
  <c r="B31" i="1"/>
  <c r="B29" i="1"/>
  <c r="B27" i="1"/>
  <c r="B25" i="1"/>
  <c r="B23" i="1"/>
  <c r="B21" i="1"/>
  <c r="B19" i="1"/>
  <c r="B17" i="1"/>
  <c r="A7" i="1"/>
</calcChain>
</file>

<file path=xl/sharedStrings.xml><?xml version="1.0" encoding="utf-8"?>
<sst xmlns="http://schemas.openxmlformats.org/spreadsheetml/2006/main" count="48" uniqueCount="36">
  <si>
    <t>YAYASAN AT-TAUHID AL ISLAMY</t>
  </si>
  <si>
    <t>PROVINSI KEP. BANGKA BELITUNG</t>
  </si>
  <si>
    <t>SMA ISLAM TAHFIDZ AL-QUR’AN AT TAUHID PANGKALPINANG</t>
  </si>
  <si>
    <t>Alamat : Jl. Jebung Dalam Kel. Jerambah Gantung Kec.Gabek Pangkalpinang Provinsi Kep. Bangka Belitung</t>
  </si>
  <si>
    <t>PENCAPAIAN KOMPETENSI PESERTA DIDIK</t>
  </si>
  <si>
    <t>Nama Peserta Didik</t>
  </si>
  <si>
    <t>:</t>
  </si>
  <si>
    <t>Kelas / Fase</t>
  </si>
  <si>
    <t>NISN</t>
  </si>
  <si>
    <t>Semester</t>
  </si>
  <si>
    <t>Nama Sekolah</t>
  </si>
  <si>
    <t>Tahun Ajaran</t>
  </si>
  <si>
    <t>No</t>
  </si>
  <si>
    <t>Muatan Pelajaran</t>
  </si>
  <si>
    <t>Nilai</t>
  </si>
  <si>
    <t>Predikat</t>
  </si>
  <si>
    <t xml:space="preserve"> Capaian Kompetensi</t>
  </si>
  <si>
    <t>C. EKSTRAKURIKULER</t>
  </si>
  <si>
    <t>Kegiatan Ekstrakurikuler</t>
  </si>
  <si>
    <t>Keterangan</t>
  </si>
  <si>
    <t>D. PRESTASI</t>
  </si>
  <si>
    <t>Jenis Prestasi</t>
  </si>
  <si>
    <t>E. KETIDAKHADIRAN</t>
  </si>
  <si>
    <t>Sakit</t>
  </si>
  <si>
    <t>Izin</t>
  </si>
  <si>
    <t>Tanpa Keterangan</t>
  </si>
  <si>
    <t>F. CATATAN WALI KELAS</t>
  </si>
  <si>
    <t>G. TANGGAPAN ORANG TUA/WALI</t>
  </si>
  <si>
    <t xml:space="preserve">Mengetahui </t>
  </si>
  <si>
    <t>Orangtua/Wali,</t>
  </si>
  <si>
    <t>…....................</t>
  </si>
  <si>
    <t>Mengetahui</t>
  </si>
  <si>
    <t>Kepala Sekolah,</t>
  </si>
  <si>
    <t>Nama Guru</t>
  </si>
  <si>
    <t>NIY.200001120120231160</t>
  </si>
  <si>
    <t>NIY.200001120120231161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</si>
</sst>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\ * &quot;:&quot;"/>
  </numFmts>
  <fonts count="14" x14ac:knownFonts="1">
    <font>
      <sz val="11"/>
      <color theme="1"/>
      <name val="Arial"/>
      <scheme val="minor"/>
    </font>
    <font>
      <b/>
      <sz val="12"/>
      <color rgb="FF000000"/>
      <name val="Times New Roman"/>
    </font>
    <font>
      <b/>
      <sz val="12"/>
      <color theme="1"/>
      <name val="Times New Roman"/>
    </font>
    <font>
      <i/>
      <sz val="10"/>
      <color theme="1"/>
      <name val="Times New Roman"/>
    </font>
    <font>
      <sz val="11"/>
      <name val="Arial"/>
    </font>
    <font>
      <b/>
      <sz val="11"/>
      <color theme="1"/>
      <name val="Times New Roman"/>
    </font>
    <font>
      <sz val="12"/>
      <color theme="1"/>
      <name val="Times New Roman"/>
    </font>
    <font>
      <sz val="11"/>
      <color theme="1"/>
      <name val="Times New Roman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Times New Roman"/>
    </font>
    <font>
      <sz val="11"/>
      <color rgb="FF000000"/>
      <name val="Times New Roman"/>
    </font>
    <font>
      <sz val="10"/>
      <color theme="1"/>
      <name val="Times New Roman"/>
    </font>
    <font>
      <b/>
      <u/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/>
    <xf numFmtId="164" fontId="6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left" vertical="center"/>
    </xf>
    <xf numFmtId="0" fontId="8" fillId="0" borderId="0" xfId="0" applyFont="1"/>
    <xf numFmtId="164" fontId="6" fillId="0" borderId="0" xfId="0" applyNumberFormat="1" applyFont="1" applyAlignment="1">
      <alignment horizontal="left" vertical="center"/>
    </xf>
    <xf numFmtId="0" fontId="7" fillId="0" borderId="3" xfId="0" applyFont="1" applyBorder="1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6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7" fillId="0" borderId="11" xfId="0" applyFont="1" applyBorder="1" applyAlignment="1">
      <alignment horizontal="left" vertical="center"/>
    </xf>
    <xf numFmtId="0" fontId="4" fillId="0" borderId="13" xfId="0" applyFont="1" applyBorder="1"/>
    <xf numFmtId="0" fontId="7" fillId="0" borderId="11" xfId="0" applyFont="1" applyBorder="1" applyAlignment="1">
      <alignment horizontal="center" vertical="center"/>
    </xf>
    <xf numFmtId="0" fontId="4" fillId="0" borderId="12" xfId="0" applyFont="1" applyBorder="1"/>
    <xf numFmtId="0" fontId="5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7" xfId="0" applyFont="1" applyBorder="1"/>
    <xf numFmtId="0" fontId="10" fillId="0" borderId="5" xfId="0" applyFont="1" applyBorder="1" applyAlignment="1">
      <alignment horizontal="left" vertical="center" wrapText="1"/>
    </xf>
    <xf numFmtId="1" fontId="7" fillId="0" borderId="4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49" fontId="6" fillId="0" borderId="0" xfId="0" applyNumberFormat="1" applyFont="1" applyAlignment="1">
      <alignment horizontal="left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428625</xdr:colOff>
      <xdr:row>0</xdr:row>
      <xdr:rowOff>0</xdr:rowOff>
    </xdr:from>
    <xdr:ext cx="571500" cy="542925"/>
    <xdr:grpSp>
      <xdr:nvGrpSpPr>
        <xdr:cNvPr id="2" name="Shape 2" title="Gambar">
          <a:extLst>
            <a:ext uri="{FF2B5EF4-FFF2-40B4-BE49-F238E27FC236}">
              <a16:creationId xmlns:a16="http://schemas.microsoft.com/office/drawing/2014/main" id="{16EADAB1-1115-4AF1-BB29-362399D7A555}"/>
            </a:ext>
          </a:extLst>
        </xdr:cNvPr>
        <xdr:cNvGrpSpPr/>
      </xdr:nvGrpSpPr>
      <xdr:grpSpPr>
        <a:xfrm>
          <a:off x="5716905" y="0"/>
          <a:ext cx="571500" cy="542925"/>
          <a:chOff x="707625" y="707625"/>
          <a:chExt cx="3722126" cy="3722126"/>
        </a:xfrm>
      </xdr:grpSpPr>
      <xdr:pic>
        <xdr:nvPicPr>
          <xdr:cNvPr id="3" name="Shape 3" descr="Gambar WhatsApp 2023-12-12 pukul 09.48.07_87deec88.jpg">
            <a:extLst>
              <a:ext uri="{FF2B5EF4-FFF2-40B4-BE49-F238E27FC236}">
                <a16:creationId xmlns:a16="http://schemas.microsoft.com/office/drawing/2014/main" id="{69688D25-8B12-2312-066A-E7661D02EC28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1">
            <a:alphaModFix/>
          </a:blip>
          <a:srcRect l="11477" t="11470" r="11593" b="11600"/>
          <a:stretch/>
        </xdr:blipFill>
        <xdr:spPr>
          <a:xfrm>
            <a:off x="707625" y="707625"/>
            <a:ext cx="3722126" cy="372212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114300</xdr:colOff>
      <xdr:row>0</xdr:row>
      <xdr:rowOff>0</xdr:rowOff>
    </xdr:from>
    <xdr:ext cx="419100" cy="542925"/>
    <xdr:grpSp>
      <xdr:nvGrpSpPr>
        <xdr:cNvPr id="4" name="Shape 2" title="Gambar">
          <a:extLst>
            <a:ext uri="{FF2B5EF4-FFF2-40B4-BE49-F238E27FC236}">
              <a16:creationId xmlns:a16="http://schemas.microsoft.com/office/drawing/2014/main" id="{0392197B-7296-421F-865C-0F5D36A1CE11}"/>
            </a:ext>
          </a:extLst>
        </xdr:cNvPr>
        <xdr:cNvGrpSpPr/>
      </xdr:nvGrpSpPr>
      <xdr:grpSpPr>
        <a:xfrm>
          <a:off x="114300" y="0"/>
          <a:ext cx="419100" cy="542925"/>
          <a:chOff x="152400" y="152400"/>
          <a:chExt cx="3778320" cy="4838696"/>
        </a:xfrm>
      </xdr:grpSpPr>
      <xdr:pic>
        <xdr:nvPicPr>
          <xdr:cNvPr id="5" name="Shape 4" descr="LOGO YAYASAN jpg - Evan Januar.jpg">
            <a:extLst>
              <a:ext uri="{FF2B5EF4-FFF2-40B4-BE49-F238E27FC236}">
                <a16:creationId xmlns:a16="http://schemas.microsoft.com/office/drawing/2014/main" id="{BF72CDD2-58B2-FF10-F3E4-4A1BE8EC0C64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2">
            <a:alphaModFix/>
          </a:blip>
          <a:stretch>
            <a:fillRect/>
          </a:stretch>
        </xdr:blipFill>
        <xdr:spPr>
          <a:xfrm>
            <a:off x="152400" y="152400"/>
            <a:ext cx="3778320" cy="483869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Job%20Today\2025\Des%202025\03%20Des%202025\RAPOR%20SAS%20XB.xlsx" TargetMode="External"/><Relationship Id="rId1" Type="http://schemas.openxmlformats.org/officeDocument/2006/relationships/externalLinkPath" Target="RAPOR%20SAS%20X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🏠Home"/>
      <sheetName val="📁Rapor Umum PAS"/>
      <sheetName val="📁Rapor Diniyah PAS"/>
      <sheetName val="NSAS"/>
      <sheetName val="📁Data Siswa"/>
      <sheetName val="📁Kompetensi Dasar"/>
      <sheetName val="📖Tahfidz &amp; 📖Hadits"/>
      <sheetName val="📁Penilaian Harian"/>
      <sheetName val="📁Absensi"/>
      <sheetName val="📁Ekstra Kurikuler"/>
      <sheetName val="📁Prestasi"/>
      <sheetName val="📁Cat. Wali Kelas"/>
      <sheetName val="AUTOCORRECTION"/>
      <sheetName val="📁Rapor Umum PTS"/>
      <sheetName val="📁Rapor Diniyah PTS"/>
      <sheetName val="Database"/>
    </sheetNames>
    <sheetDataSet>
      <sheetData sheetId="0"/>
      <sheetData sheetId="1">
        <row r="3">
          <cell r="H3" t="str">
            <v>XB / E</v>
          </cell>
        </row>
        <row r="7">
          <cell r="H7" t="str">
            <v>Pangkalpinang, 19 Desember 2025</v>
          </cell>
        </row>
        <row r="8">
          <cell r="H8" t="str">
            <v>Delly Arhadath, S.Pd.</v>
          </cell>
        </row>
        <row r="15">
          <cell r="F15" t="str">
            <v>Pendidikan Agama Islam dan Budi Pekerti</v>
          </cell>
        </row>
        <row r="16">
          <cell r="F16" t="str">
            <v>Pendidikan Pancasila</v>
          </cell>
        </row>
        <row r="17">
          <cell r="F17" t="str">
            <v>Bahasa Indonesia</v>
          </cell>
        </row>
        <row r="18">
          <cell r="F18" t="str">
            <v>Matematika</v>
          </cell>
        </row>
        <row r="19">
          <cell r="F19" t="str">
            <v>Ilmu Pengetahuan Alam</v>
          </cell>
        </row>
        <row r="20">
          <cell r="F20" t="str">
            <v>Ilmu Pengetahuan Sosial</v>
          </cell>
        </row>
        <row r="22">
          <cell r="F22" t="str">
            <v>Bahasa Inggris</v>
          </cell>
        </row>
        <row r="23">
          <cell r="F23" t="str">
            <v>Pendidikan Jasmani, Olahraga, dan Kesehatan</v>
          </cell>
        </row>
        <row r="24">
          <cell r="F24" t="str">
            <v>Informatika</v>
          </cell>
        </row>
        <row r="26">
          <cell r="F26" t="str">
            <v>Seni Budaya dan Prakarya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🏠Home</v>
          </cell>
        </row>
      </sheetData>
      <sheetData sheetId="10"/>
      <sheetData sheetId="11">
        <row r="1">
          <cell r="A1" t="str">
            <v>🏠Home</v>
          </cell>
        </row>
      </sheetData>
      <sheetData sheetId="12">
        <row r="1">
          <cell r="A1" t="str">
            <v>🏠Home</v>
          </cell>
        </row>
      </sheetData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B11E-8F5A-49BC-BFBE-B1073224D8CC}">
  <sheetPr>
    <tabColor rgb="FF0000FF"/>
  </sheetPr>
  <dimension ref="A1:J85"/>
  <sheetViews>
    <sheetView showGridLines="0" tabSelected="1" workbookViewId="0">
      <pane ySplit="5" topLeftCell="A6" activePane="bottomLeft" state="frozen"/>
      <selection pane="bottomLeft" activeCell="H69" sqref="H69:J69"/>
    </sheetView>
  </sheetViews>
  <sheetFormatPr defaultColWidth="12.69921875" defaultRowHeight="15" customHeight="1" x14ac:dyDescent="0.25"/>
  <cols>
    <col min="1" max="1" width="3.3984375" customWidth="1"/>
    <col min="2" max="2" width="13.69921875" customWidth="1"/>
    <col min="3" max="4" width="1.69921875" customWidth="1"/>
    <col min="5" max="5" width="6.8984375" customWidth="1"/>
    <col min="6" max="6" width="7.69921875" customWidth="1"/>
    <col min="7" max="7" width="19.5" customWidth="1"/>
    <col min="8" max="8" width="7.8984375" customWidth="1"/>
    <col min="9" max="9" width="6.8984375" customWidth="1"/>
    <col min="10" max="10" width="13.8984375" customWidth="1"/>
  </cols>
  <sheetData>
    <row r="1" spans="1:10" ht="14.25" customHeight="1" x14ac:dyDescent="0.25">
      <c r="A1" s="55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4.25" customHeight="1" x14ac:dyDescent="0.25">
      <c r="A2" s="56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14.25" customHeight="1" x14ac:dyDescent="0.25">
      <c r="A3" s="56" t="s">
        <v>2</v>
      </c>
      <c r="B3" s="22"/>
      <c r="C3" s="22"/>
      <c r="D3" s="22"/>
      <c r="E3" s="22"/>
      <c r="F3" s="22"/>
      <c r="G3" s="22"/>
      <c r="H3" s="22"/>
      <c r="I3" s="22"/>
      <c r="J3" s="22"/>
    </row>
    <row r="4" spans="1:10" ht="14.25" customHeight="1" thickBot="1" x14ac:dyDescent="0.3">
      <c r="A4" s="57" t="s">
        <v>3</v>
      </c>
      <c r="B4" s="58"/>
      <c r="C4" s="58"/>
      <c r="D4" s="58"/>
      <c r="E4" s="58"/>
      <c r="F4" s="58"/>
      <c r="G4" s="58"/>
      <c r="H4" s="58"/>
      <c r="I4" s="58"/>
      <c r="J4" s="58"/>
    </row>
    <row r="5" spans="1:10" ht="14.25" customHeight="1" thickTop="1" x14ac:dyDescent="0.25"/>
    <row r="6" spans="1:10" ht="14.25" customHeight="1" x14ac:dyDescent="0.25">
      <c r="A6" s="59" t="s">
        <v>4</v>
      </c>
      <c r="B6" s="22"/>
      <c r="C6" s="22"/>
      <c r="D6" s="22"/>
      <c r="E6" s="22"/>
      <c r="F6" s="22"/>
      <c r="G6" s="22"/>
      <c r="H6" s="22"/>
      <c r="I6" s="22"/>
      <c r="J6" s="22"/>
    </row>
    <row r="7" spans="1:10" ht="14.25" customHeight="1" x14ac:dyDescent="0.25">
      <c r="A7" s="59" t="str">
        <f>"PENILAIAN AKHIR SEMESTER"</f>
        <v>PENILAIAN AKHIR SEMESTER</v>
      </c>
      <c r="B7" s="22"/>
      <c r="C7" s="22"/>
      <c r="D7" s="22"/>
      <c r="E7" s="22"/>
      <c r="F7" s="22"/>
      <c r="G7" s="22"/>
      <c r="H7" s="22"/>
      <c r="I7" s="22"/>
      <c r="J7" s="22"/>
    </row>
    <row r="8" spans="1:10" ht="7.5" customHeight="1" x14ac:dyDescent="0.25"/>
    <row r="9" spans="1:10" ht="14.25" customHeight="1" x14ac:dyDescent="0.3">
      <c r="A9" s="45" t="s">
        <v>5</v>
      </c>
      <c r="B9" s="22"/>
      <c r="C9" s="1" t="s">
        <v>6</v>
      </c>
      <c r="D9" s="2"/>
      <c r="E9" s="3"/>
      <c r="F9" s="3"/>
      <c r="G9" s="4"/>
      <c r="H9" s="5" t="s">
        <v>7</v>
      </c>
      <c r="I9" s="2"/>
      <c r="J9" s="2" t="s">
        <v>6</v>
      </c>
    </row>
    <row r="10" spans="1:10" ht="14.25" customHeight="1" x14ac:dyDescent="0.3">
      <c r="A10" s="2" t="s">
        <v>8</v>
      </c>
      <c r="B10" s="2"/>
      <c r="C10" s="1" t="s">
        <v>6</v>
      </c>
      <c r="D10" s="46"/>
      <c r="E10" s="22"/>
      <c r="F10" s="22"/>
      <c r="G10" s="22"/>
      <c r="H10" s="2" t="s">
        <v>9</v>
      </c>
      <c r="I10" s="2"/>
      <c r="J10" s="2" t="s">
        <v>6</v>
      </c>
    </row>
    <row r="11" spans="1:10" ht="14.25" customHeight="1" x14ac:dyDescent="0.3">
      <c r="A11" s="2" t="s">
        <v>10</v>
      </c>
      <c r="B11" s="2"/>
      <c r="C11" s="1" t="s">
        <v>6</v>
      </c>
      <c r="D11" s="2"/>
      <c r="E11" s="3"/>
      <c r="F11" s="3"/>
      <c r="G11" s="6"/>
      <c r="H11" s="2" t="s">
        <v>11</v>
      </c>
      <c r="I11" s="2"/>
      <c r="J11" s="2" t="s">
        <v>6</v>
      </c>
    </row>
    <row r="12" spans="1:10" ht="7.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7.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7.5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16.5" customHeight="1" x14ac:dyDescent="0.25">
      <c r="A15" s="47" t="s">
        <v>12</v>
      </c>
      <c r="B15" s="48" t="s">
        <v>13</v>
      </c>
      <c r="C15" s="26"/>
      <c r="D15" s="27"/>
      <c r="E15" s="48" t="s">
        <v>14</v>
      </c>
      <c r="F15" s="50" t="s">
        <v>15</v>
      </c>
      <c r="G15" s="52" t="s">
        <v>16</v>
      </c>
      <c r="H15" s="50"/>
      <c r="I15" s="50"/>
      <c r="J15" s="53"/>
    </row>
    <row r="16" spans="1:10" ht="15" customHeight="1" x14ac:dyDescent="0.25">
      <c r="A16" s="39"/>
      <c r="B16" s="30"/>
      <c r="C16" s="31"/>
      <c r="D16" s="32"/>
      <c r="E16" s="49"/>
      <c r="F16" s="51"/>
      <c r="G16" s="51"/>
      <c r="H16" s="51"/>
      <c r="I16" s="51"/>
      <c r="J16" s="54"/>
    </row>
    <row r="17" spans="1:10" ht="47.25" customHeight="1" x14ac:dyDescent="0.25">
      <c r="A17" s="38">
        <v>1</v>
      </c>
      <c r="B17" s="40" t="str">
        <f>[1]🏠Home!F15</f>
        <v>Pendidikan Agama Islam dan Budi Pekerti</v>
      </c>
      <c r="C17" s="26"/>
      <c r="D17" s="27"/>
      <c r="E17" s="41"/>
      <c r="F17" s="41"/>
      <c r="G17" s="42"/>
      <c r="H17" s="26"/>
      <c r="I17" s="26"/>
      <c r="J17" s="27"/>
    </row>
    <row r="18" spans="1:10" ht="47.25" customHeight="1" x14ac:dyDescent="0.25">
      <c r="A18" s="39"/>
      <c r="B18" s="30"/>
      <c r="C18" s="31"/>
      <c r="D18" s="32"/>
      <c r="E18" s="39"/>
      <c r="F18" s="39"/>
      <c r="G18" s="30"/>
      <c r="H18" s="31"/>
      <c r="I18" s="31"/>
      <c r="J18" s="32"/>
    </row>
    <row r="19" spans="1:10" ht="33.75" customHeight="1" x14ac:dyDescent="0.25">
      <c r="A19" s="38">
        <v>2</v>
      </c>
      <c r="B19" s="40" t="str">
        <f>[1]🏠Home!F16</f>
        <v>Pendidikan Pancasila</v>
      </c>
      <c r="C19" s="26"/>
      <c r="D19" s="27"/>
      <c r="E19" s="41"/>
      <c r="F19" s="41"/>
      <c r="G19" s="42"/>
      <c r="H19" s="26"/>
      <c r="I19" s="26"/>
      <c r="J19" s="27"/>
    </row>
    <row r="20" spans="1:10" ht="33.75" customHeight="1" x14ac:dyDescent="0.25">
      <c r="A20" s="39"/>
      <c r="B20" s="30"/>
      <c r="C20" s="31"/>
      <c r="D20" s="32"/>
      <c r="E20" s="39"/>
      <c r="F20" s="39"/>
      <c r="G20" s="30"/>
      <c r="H20" s="31"/>
      <c r="I20" s="31"/>
      <c r="J20" s="32"/>
    </row>
    <row r="21" spans="1:10" ht="33.75" customHeight="1" x14ac:dyDescent="0.25">
      <c r="A21" s="38">
        <v>3</v>
      </c>
      <c r="B21" s="43" t="str">
        <f>[1]🏠Home!F17</f>
        <v>Bahasa Indonesia</v>
      </c>
      <c r="C21" s="26"/>
      <c r="D21" s="27"/>
      <c r="E21" s="41"/>
      <c r="F21" s="41"/>
      <c r="G21" s="42"/>
      <c r="H21" s="26"/>
      <c r="I21" s="26"/>
      <c r="J21" s="27"/>
    </row>
    <row r="22" spans="1:10" ht="33.75" customHeight="1" x14ac:dyDescent="0.25">
      <c r="A22" s="39"/>
      <c r="B22" s="30"/>
      <c r="C22" s="31"/>
      <c r="D22" s="32"/>
      <c r="E22" s="39"/>
      <c r="F22" s="39"/>
      <c r="G22" s="30"/>
      <c r="H22" s="31"/>
      <c r="I22" s="31"/>
      <c r="J22" s="32"/>
    </row>
    <row r="23" spans="1:10" ht="33.75" customHeight="1" x14ac:dyDescent="0.25">
      <c r="A23" s="38">
        <v>4</v>
      </c>
      <c r="B23" s="43" t="str">
        <f>[1]🏠Home!F18</f>
        <v>Matematika</v>
      </c>
      <c r="C23" s="26"/>
      <c r="D23" s="27"/>
      <c r="E23" s="41"/>
      <c r="F23" s="41"/>
      <c r="G23" s="42"/>
      <c r="H23" s="26"/>
      <c r="I23" s="26"/>
      <c r="J23" s="27"/>
    </row>
    <row r="24" spans="1:10" ht="33.75" customHeight="1" x14ac:dyDescent="0.25">
      <c r="A24" s="39"/>
      <c r="B24" s="30"/>
      <c r="C24" s="31"/>
      <c r="D24" s="32"/>
      <c r="E24" s="39"/>
      <c r="F24" s="39"/>
      <c r="G24" s="30"/>
      <c r="H24" s="31"/>
      <c r="I24" s="31"/>
      <c r="J24" s="32"/>
    </row>
    <row r="25" spans="1:10" ht="33.75" customHeight="1" x14ac:dyDescent="0.25">
      <c r="A25" s="38">
        <v>5</v>
      </c>
      <c r="B25" s="43" t="str">
        <f>[1]🏠Home!F19</f>
        <v>Ilmu Pengetahuan Alam</v>
      </c>
      <c r="C25" s="26"/>
      <c r="D25" s="27"/>
      <c r="E25" s="41"/>
      <c r="F25" s="41"/>
      <c r="G25" s="42"/>
      <c r="H25" s="26"/>
      <c r="I25" s="26"/>
      <c r="J25" s="27"/>
    </row>
    <row r="26" spans="1:10" ht="33.75" customHeight="1" x14ac:dyDescent="0.25">
      <c r="A26" s="39"/>
      <c r="B26" s="30"/>
      <c r="C26" s="31"/>
      <c r="D26" s="32"/>
      <c r="E26" s="39"/>
      <c r="F26" s="39"/>
      <c r="G26" s="30"/>
      <c r="H26" s="31"/>
      <c r="I26" s="31"/>
      <c r="J26" s="32"/>
    </row>
    <row r="27" spans="1:10" ht="33.75" customHeight="1" x14ac:dyDescent="0.25">
      <c r="A27" s="38">
        <v>6</v>
      </c>
      <c r="B27" s="43" t="str">
        <f>[1]🏠Home!F20</f>
        <v>Ilmu Pengetahuan Sosial</v>
      </c>
      <c r="C27" s="26"/>
      <c r="D27" s="27"/>
      <c r="E27" s="41"/>
      <c r="F27" s="41"/>
      <c r="G27" s="42"/>
      <c r="H27" s="26"/>
      <c r="I27" s="26"/>
      <c r="J27" s="27"/>
    </row>
    <row r="28" spans="1:10" ht="33.75" customHeight="1" x14ac:dyDescent="0.25">
      <c r="A28" s="39"/>
      <c r="B28" s="30"/>
      <c r="C28" s="31"/>
      <c r="D28" s="32"/>
      <c r="E28" s="39"/>
      <c r="F28" s="39"/>
      <c r="G28" s="30"/>
      <c r="H28" s="31"/>
      <c r="I28" s="31"/>
      <c r="J28" s="32"/>
    </row>
    <row r="29" spans="1:10" ht="33.75" customHeight="1" x14ac:dyDescent="0.25">
      <c r="A29" s="38">
        <v>7</v>
      </c>
      <c r="B29" s="43" t="str">
        <f>[1]🏠Home!F22</f>
        <v>Bahasa Inggris</v>
      </c>
      <c r="C29" s="26"/>
      <c r="D29" s="27"/>
      <c r="E29" s="41"/>
      <c r="F29" s="41"/>
      <c r="G29" s="42"/>
      <c r="H29" s="26"/>
      <c r="I29" s="26"/>
      <c r="J29" s="27"/>
    </row>
    <row r="30" spans="1:10" ht="33.75" customHeight="1" x14ac:dyDescent="0.25">
      <c r="A30" s="39"/>
      <c r="B30" s="30"/>
      <c r="C30" s="31"/>
      <c r="D30" s="32"/>
      <c r="E30" s="39"/>
      <c r="F30" s="39"/>
      <c r="G30" s="30"/>
      <c r="H30" s="31"/>
      <c r="I30" s="31"/>
      <c r="J30" s="32"/>
    </row>
    <row r="31" spans="1:10" ht="33.75" customHeight="1" x14ac:dyDescent="0.25">
      <c r="A31" s="38">
        <v>8</v>
      </c>
      <c r="B31" s="43" t="str">
        <f>[1]🏠Home!F23</f>
        <v>Pendidikan Jasmani, Olahraga, dan Kesehatan</v>
      </c>
      <c r="C31" s="26"/>
      <c r="D31" s="27"/>
      <c r="E31" s="41"/>
      <c r="F31" s="41"/>
      <c r="G31" s="42"/>
      <c r="H31" s="26"/>
      <c r="I31" s="26"/>
      <c r="J31" s="27"/>
    </row>
    <row r="32" spans="1:10" ht="33.75" customHeight="1" x14ac:dyDescent="0.25">
      <c r="A32" s="39"/>
      <c r="B32" s="30"/>
      <c r="C32" s="31"/>
      <c r="D32" s="32"/>
      <c r="E32" s="39"/>
      <c r="F32" s="39"/>
      <c r="G32" s="30"/>
      <c r="H32" s="31"/>
      <c r="I32" s="31"/>
      <c r="J32" s="32"/>
    </row>
    <row r="33" spans="1:10" ht="33.75" customHeight="1" x14ac:dyDescent="0.25">
      <c r="A33" s="38">
        <v>9</v>
      </c>
      <c r="B33" s="40" t="str">
        <f>[1]🏠Home!F24</f>
        <v>Informatika</v>
      </c>
      <c r="C33" s="26"/>
      <c r="D33" s="27"/>
      <c r="E33" s="41"/>
      <c r="F33" s="41"/>
      <c r="G33" s="42"/>
      <c r="H33" s="26"/>
      <c r="I33" s="26"/>
      <c r="J33" s="27"/>
    </row>
    <row r="34" spans="1:10" ht="33.75" customHeight="1" x14ac:dyDescent="0.25">
      <c r="A34" s="39"/>
      <c r="B34" s="30"/>
      <c r="C34" s="31"/>
      <c r="D34" s="32"/>
      <c r="E34" s="39"/>
      <c r="F34" s="39"/>
      <c r="G34" s="30"/>
      <c r="H34" s="31"/>
      <c r="I34" s="31"/>
      <c r="J34" s="32"/>
    </row>
    <row r="35" spans="1:10" ht="33.75" customHeight="1" x14ac:dyDescent="0.25">
      <c r="A35" s="38">
        <v>10</v>
      </c>
      <c r="B35" s="43" t="str">
        <f>[1]🏠Home!F26</f>
        <v>Seni Budaya dan Prakarya</v>
      </c>
      <c r="C35" s="26"/>
      <c r="D35" s="27"/>
      <c r="E35" s="41"/>
      <c r="F35" s="41"/>
      <c r="G35" s="44"/>
      <c r="H35" s="26"/>
      <c r="I35" s="26"/>
      <c r="J35" s="27"/>
    </row>
    <row r="36" spans="1:10" ht="33.75" customHeight="1" x14ac:dyDescent="0.25">
      <c r="A36" s="39"/>
      <c r="B36" s="30"/>
      <c r="C36" s="31"/>
      <c r="D36" s="32"/>
      <c r="E36" s="39"/>
      <c r="F36" s="39"/>
      <c r="G36" s="30"/>
      <c r="H36" s="31"/>
      <c r="I36" s="31"/>
      <c r="J36" s="32"/>
    </row>
    <row r="37" spans="1:10" ht="18" customHeight="1" x14ac:dyDescent="0.25">
      <c r="A37" s="9"/>
      <c r="B37" s="10"/>
      <c r="C37" s="10"/>
      <c r="D37" s="10"/>
      <c r="E37" s="9"/>
      <c r="F37" s="9"/>
      <c r="G37" s="9"/>
      <c r="H37" s="9"/>
      <c r="I37" s="9"/>
      <c r="J37" s="9"/>
    </row>
    <row r="38" spans="1:10" ht="7.5" customHeight="1" x14ac:dyDescent="0.25">
      <c r="A38" s="9"/>
      <c r="B38" s="10"/>
      <c r="C38" s="10"/>
      <c r="D38" s="10"/>
      <c r="E38" s="9"/>
      <c r="F38" s="9"/>
      <c r="G38" s="9"/>
      <c r="H38" s="9"/>
      <c r="I38" s="9"/>
      <c r="J38" s="9"/>
    </row>
    <row r="39" spans="1:10" ht="15" customHeight="1" x14ac:dyDescent="0.25">
      <c r="A39" s="11" t="s">
        <v>17</v>
      </c>
      <c r="B39" s="8"/>
      <c r="C39" s="8"/>
      <c r="D39" s="8"/>
      <c r="E39" s="8"/>
      <c r="F39" s="8"/>
      <c r="G39" s="8"/>
      <c r="H39" s="8"/>
      <c r="I39" s="8"/>
    </row>
    <row r="40" spans="1:10" ht="15" customHeight="1" x14ac:dyDescent="0.25">
      <c r="A40" s="12" t="s">
        <v>12</v>
      </c>
      <c r="B40" s="37" t="s">
        <v>18</v>
      </c>
      <c r="C40" s="36"/>
      <c r="D40" s="36"/>
      <c r="E40" s="36"/>
      <c r="F40" s="36"/>
      <c r="G40" s="12" t="s">
        <v>15</v>
      </c>
      <c r="H40" s="37" t="s">
        <v>19</v>
      </c>
      <c r="I40" s="34"/>
    </row>
    <row r="41" spans="1:10" ht="14.25" customHeight="1" x14ac:dyDescent="0.25">
      <c r="A41" s="13">
        <v>1</v>
      </c>
      <c r="B41" s="14"/>
      <c r="C41" s="15"/>
      <c r="D41" s="15"/>
      <c r="E41" s="15"/>
      <c r="F41" s="15"/>
      <c r="G41" s="13"/>
      <c r="H41" s="35"/>
      <c r="I41" s="34"/>
    </row>
    <row r="42" spans="1:10" ht="15" customHeight="1" x14ac:dyDescent="0.25">
      <c r="A42" s="13">
        <v>2</v>
      </c>
      <c r="B42" s="14"/>
      <c r="C42" s="15"/>
      <c r="D42" s="15"/>
      <c r="E42" s="15"/>
      <c r="F42" s="15"/>
      <c r="G42" s="13"/>
      <c r="H42" s="35"/>
      <c r="I42" s="34"/>
    </row>
    <row r="43" spans="1:10" ht="14.25" customHeight="1" x14ac:dyDescent="0.25">
      <c r="A43" s="13">
        <v>3</v>
      </c>
      <c r="B43" s="14"/>
      <c r="C43" s="15"/>
      <c r="D43" s="15"/>
      <c r="E43" s="15"/>
      <c r="F43" s="15"/>
      <c r="G43" s="13"/>
      <c r="H43" s="35"/>
      <c r="I43" s="34"/>
    </row>
    <row r="44" spans="1:10" ht="15" customHeight="1" x14ac:dyDescent="0.25">
      <c r="A44" s="13">
        <v>4</v>
      </c>
      <c r="B44" s="14"/>
      <c r="C44" s="15"/>
      <c r="D44" s="15"/>
      <c r="E44" s="15"/>
      <c r="F44" s="15"/>
      <c r="G44" s="13"/>
      <c r="H44" s="35"/>
      <c r="I44" s="34"/>
    </row>
    <row r="45" spans="1:10" ht="7.5" customHeight="1" x14ac:dyDescent="0.25">
      <c r="A45" s="9"/>
      <c r="B45" s="16"/>
      <c r="C45" s="16"/>
      <c r="D45" s="16"/>
      <c r="E45" s="16"/>
      <c r="F45" s="16"/>
      <c r="G45" s="16"/>
      <c r="H45" s="9"/>
      <c r="I45" s="9"/>
      <c r="J45" s="9"/>
    </row>
    <row r="46" spans="1:10" ht="15" customHeight="1" x14ac:dyDescent="0.25">
      <c r="A46" s="11" t="s">
        <v>20</v>
      </c>
      <c r="B46" s="8"/>
      <c r="C46" s="8"/>
      <c r="D46" s="8"/>
      <c r="E46" s="8"/>
      <c r="F46" s="8"/>
      <c r="G46" s="8"/>
      <c r="H46" s="8"/>
      <c r="I46" s="8"/>
    </row>
    <row r="47" spans="1:10" ht="15" customHeight="1" x14ac:dyDescent="0.25">
      <c r="A47" s="12" t="s">
        <v>12</v>
      </c>
      <c r="B47" s="37" t="s">
        <v>21</v>
      </c>
      <c r="C47" s="36"/>
      <c r="D47" s="36"/>
      <c r="E47" s="34"/>
      <c r="F47" s="37" t="s">
        <v>19</v>
      </c>
      <c r="G47" s="34"/>
    </row>
    <row r="48" spans="1:10" ht="14.25" customHeight="1" x14ac:dyDescent="0.25">
      <c r="A48" s="13">
        <v>1</v>
      </c>
      <c r="B48" s="35"/>
      <c r="C48" s="36"/>
      <c r="D48" s="36"/>
      <c r="E48" s="34"/>
      <c r="F48" s="35"/>
      <c r="G48" s="34"/>
    </row>
    <row r="49" spans="1:10" ht="14.25" customHeight="1" x14ac:dyDescent="0.25">
      <c r="A49" s="13">
        <v>2</v>
      </c>
      <c r="B49" s="35"/>
      <c r="C49" s="36"/>
      <c r="D49" s="36"/>
      <c r="E49" s="34"/>
      <c r="F49" s="35"/>
      <c r="G49" s="34"/>
    </row>
    <row r="50" spans="1:10" ht="7.5" customHeight="1" x14ac:dyDescent="0.25">
      <c r="A50" s="9"/>
      <c r="B50" s="16"/>
      <c r="C50" s="16"/>
      <c r="D50" s="16"/>
      <c r="E50" s="16"/>
      <c r="F50" s="9"/>
      <c r="G50" s="9"/>
      <c r="H50" s="9"/>
      <c r="I50" s="9"/>
      <c r="J50" s="9"/>
    </row>
    <row r="51" spans="1:10" ht="14.25" customHeight="1" x14ac:dyDescent="0.25">
      <c r="A51" s="11" t="s">
        <v>22</v>
      </c>
      <c r="B51" s="8"/>
      <c r="C51" s="8"/>
      <c r="D51" s="8"/>
      <c r="E51" s="8"/>
      <c r="F51" s="8"/>
      <c r="G51" s="8"/>
      <c r="H51" s="9"/>
      <c r="I51" s="9"/>
      <c r="J51" s="9"/>
    </row>
    <row r="52" spans="1:10" ht="14.25" customHeight="1" x14ac:dyDescent="0.25">
      <c r="A52" s="33" t="s">
        <v>23</v>
      </c>
      <c r="B52" s="34"/>
      <c r="C52" s="13" t="s">
        <v>6</v>
      </c>
      <c r="D52" s="35"/>
      <c r="E52" s="36"/>
      <c r="F52" s="36"/>
      <c r="G52" s="34"/>
      <c r="H52" s="9"/>
      <c r="I52" s="9"/>
      <c r="J52" s="9"/>
    </row>
    <row r="53" spans="1:10" ht="15" customHeight="1" x14ac:dyDescent="0.25">
      <c r="A53" s="33" t="s">
        <v>24</v>
      </c>
      <c r="B53" s="34"/>
      <c r="C53" s="13" t="s">
        <v>6</v>
      </c>
      <c r="D53" s="35"/>
      <c r="E53" s="36"/>
      <c r="F53" s="36"/>
      <c r="G53" s="34"/>
      <c r="H53" s="9"/>
      <c r="I53" s="9"/>
      <c r="J53" s="9"/>
    </row>
    <row r="54" spans="1:10" ht="14.25" customHeight="1" x14ac:dyDescent="0.25">
      <c r="A54" s="33" t="s">
        <v>25</v>
      </c>
      <c r="B54" s="34"/>
      <c r="C54" s="13" t="s">
        <v>6</v>
      </c>
      <c r="D54" s="35"/>
      <c r="E54" s="36"/>
      <c r="F54" s="36"/>
      <c r="G54" s="34"/>
      <c r="H54" s="9"/>
      <c r="I54" s="9"/>
      <c r="J54" s="9"/>
    </row>
    <row r="55" spans="1:10" ht="7.5" customHeight="1" x14ac:dyDescent="0.25">
      <c r="A55" s="9"/>
      <c r="B55" s="16"/>
      <c r="C55" s="16"/>
      <c r="D55" s="16"/>
      <c r="E55" s="16"/>
      <c r="F55" s="9"/>
      <c r="G55" s="9"/>
      <c r="H55" s="9"/>
      <c r="I55" s="9"/>
      <c r="J55" s="9"/>
    </row>
    <row r="56" spans="1:10" ht="14.25" customHeight="1" x14ac:dyDescent="0.25">
      <c r="A56" s="11" t="s">
        <v>26</v>
      </c>
      <c r="B56" s="11"/>
      <c r="C56" s="8"/>
      <c r="D56" s="8"/>
      <c r="E56" s="8"/>
      <c r="F56" s="8"/>
      <c r="G56" s="8"/>
      <c r="H56" s="8"/>
      <c r="I56" s="8"/>
    </row>
    <row r="57" spans="1:10" ht="14.25" customHeight="1" x14ac:dyDescent="0.25">
      <c r="A57" s="25"/>
      <c r="B57" s="26"/>
      <c r="C57" s="26"/>
      <c r="D57" s="26"/>
      <c r="E57" s="26"/>
      <c r="F57" s="26"/>
      <c r="G57" s="26"/>
      <c r="H57" s="26"/>
      <c r="I57" s="26"/>
      <c r="J57" s="27"/>
    </row>
    <row r="58" spans="1:10" ht="14.25" customHeight="1" x14ac:dyDescent="0.25">
      <c r="A58" s="28"/>
      <c r="B58" s="22"/>
      <c r="C58" s="22"/>
      <c r="D58" s="22"/>
      <c r="E58" s="22"/>
      <c r="F58" s="22"/>
      <c r="G58" s="22"/>
      <c r="H58" s="22"/>
      <c r="I58" s="22"/>
      <c r="J58" s="29"/>
    </row>
    <row r="59" spans="1:10" ht="14.25" customHeight="1" x14ac:dyDescent="0.25">
      <c r="A59" s="30"/>
      <c r="B59" s="31"/>
      <c r="C59" s="31"/>
      <c r="D59" s="31"/>
      <c r="E59" s="31"/>
      <c r="F59" s="31"/>
      <c r="G59" s="31"/>
      <c r="H59" s="31"/>
      <c r="I59" s="31"/>
      <c r="J59" s="32"/>
    </row>
    <row r="60" spans="1:10" ht="7.5" customHeight="1" x14ac:dyDescent="0.25">
      <c r="A60" s="8"/>
      <c r="B60" s="8"/>
      <c r="C60" s="8"/>
      <c r="D60" s="8"/>
      <c r="E60" s="8"/>
      <c r="F60" s="8"/>
      <c r="G60" s="8"/>
      <c r="H60" s="8"/>
      <c r="I60" s="8"/>
    </row>
    <row r="61" spans="1:10" ht="14.25" customHeight="1" x14ac:dyDescent="0.25">
      <c r="A61" s="11" t="s">
        <v>27</v>
      </c>
      <c r="B61" s="11"/>
      <c r="C61" s="8"/>
      <c r="D61" s="8"/>
      <c r="E61" s="8"/>
      <c r="F61" s="8"/>
      <c r="G61" s="8"/>
      <c r="H61" s="8"/>
      <c r="I61" s="8"/>
    </row>
    <row r="62" spans="1:10" ht="14.25" customHeight="1" x14ac:dyDescent="0.25">
      <c r="A62" s="25"/>
      <c r="B62" s="26"/>
      <c r="C62" s="26"/>
      <c r="D62" s="26"/>
      <c r="E62" s="26"/>
      <c r="F62" s="26"/>
      <c r="G62" s="26"/>
      <c r="H62" s="26"/>
      <c r="I62" s="26"/>
      <c r="J62" s="27"/>
    </row>
    <row r="63" spans="1:10" ht="14.25" customHeight="1" x14ac:dyDescent="0.25">
      <c r="A63" s="28"/>
      <c r="B63" s="22"/>
      <c r="C63" s="22"/>
      <c r="D63" s="22"/>
      <c r="E63" s="22"/>
      <c r="F63" s="22"/>
      <c r="G63" s="22"/>
      <c r="H63" s="22"/>
      <c r="I63" s="22"/>
      <c r="J63" s="29"/>
    </row>
    <row r="64" spans="1:10" ht="14.25" customHeight="1" x14ac:dyDescent="0.25">
      <c r="A64" s="30"/>
      <c r="B64" s="31"/>
      <c r="C64" s="31"/>
      <c r="D64" s="31"/>
      <c r="E64" s="31"/>
      <c r="F64" s="31"/>
      <c r="G64" s="31"/>
      <c r="H64" s="31"/>
      <c r="I64" s="31"/>
      <c r="J64" s="32"/>
    </row>
    <row r="65" spans="1:10" ht="7.5" customHeight="1" x14ac:dyDescent="0.25">
      <c r="A65" s="8"/>
      <c r="B65" s="8"/>
      <c r="C65" s="8"/>
      <c r="D65" s="8"/>
      <c r="E65" s="8"/>
      <c r="F65" s="8"/>
      <c r="G65" s="8"/>
      <c r="H65" s="8"/>
      <c r="I65" s="8"/>
    </row>
    <row r="66" spans="1:10" ht="14.2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</row>
    <row r="67" spans="1:10" ht="4.5" customHeight="1" x14ac:dyDescent="0.25">
      <c r="A67" s="9"/>
      <c r="B67" s="16"/>
      <c r="C67" s="16"/>
      <c r="D67" s="16"/>
      <c r="E67" s="9"/>
      <c r="F67" s="9"/>
      <c r="G67" s="9"/>
      <c r="H67" s="9"/>
      <c r="I67" s="9"/>
      <c r="J67" s="9"/>
    </row>
    <row r="68" spans="1:10" ht="15" customHeight="1" x14ac:dyDescent="0.25">
      <c r="A68" s="8"/>
      <c r="B68" s="23" t="s">
        <v>28</v>
      </c>
      <c r="C68" s="22"/>
      <c r="D68" s="8"/>
      <c r="E68" s="18"/>
      <c r="F68" s="18"/>
      <c r="G68" s="18"/>
      <c r="H68" s="23" t="str">
        <f>[1]🏠Home!H7</f>
        <v>Pangkalpinang, 19 Desember 2025</v>
      </c>
      <c r="I68" s="22"/>
      <c r="J68" s="22"/>
    </row>
    <row r="69" spans="1:10" ht="15" customHeight="1" x14ac:dyDescent="0.25">
      <c r="A69" s="8"/>
      <c r="B69" s="23" t="s">
        <v>29</v>
      </c>
      <c r="C69" s="22"/>
      <c r="D69" s="8"/>
      <c r="E69" s="18"/>
      <c r="F69" s="18"/>
      <c r="G69" s="18"/>
      <c r="H69" s="23" t="str">
        <f>"Guru Kelas "&amp;[1]🏠Home!H3&amp;","</f>
        <v>Guru Kelas XB / E,</v>
      </c>
      <c r="I69" s="22"/>
      <c r="J69" s="22"/>
    </row>
    <row r="70" spans="1:10" ht="15" customHeight="1" x14ac:dyDescent="0.25">
      <c r="A70" s="8"/>
      <c r="B70" s="8"/>
      <c r="C70" s="8"/>
      <c r="D70" s="8"/>
      <c r="E70" s="8"/>
      <c r="F70" s="8"/>
      <c r="G70" s="8"/>
      <c r="H70" s="8"/>
      <c r="I70" s="8"/>
    </row>
    <row r="71" spans="1:10" ht="4.5" customHeight="1" x14ac:dyDescent="0.25">
      <c r="A71" s="8"/>
      <c r="B71" s="8"/>
      <c r="C71" s="8"/>
      <c r="D71" s="8"/>
      <c r="E71" s="8"/>
      <c r="F71" s="8"/>
      <c r="G71" s="8"/>
      <c r="H71" s="8"/>
      <c r="I71" s="8"/>
    </row>
    <row r="72" spans="1:10" ht="14.25" customHeight="1" x14ac:dyDescent="0.25">
      <c r="A72" s="8"/>
      <c r="B72" s="24"/>
      <c r="C72" s="22"/>
      <c r="D72" s="8"/>
      <c r="E72" s="8"/>
      <c r="F72" s="8"/>
      <c r="G72" s="8"/>
      <c r="H72" s="8"/>
      <c r="I72" s="8"/>
    </row>
    <row r="73" spans="1:10" ht="14.25" customHeight="1" x14ac:dyDescent="0.25">
      <c r="A73" s="8"/>
      <c r="B73" s="8"/>
      <c r="C73" s="8"/>
      <c r="D73" s="8"/>
      <c r="E73" s="8"/>
      <c r="F73" s="8"/>
      <c r="G73" s="8"/>
      <c r="H73" s="8"/>
      <c r="I73" s="8"/>
    </row>
    <row r="74" spans="1:10" ht="14.25" customHeight="1" x14ac:dyDescent="0.25">
      <c r="A74" s="8"/>
      <c r="B74" s="24" t="s">
        <v>30</v>
      </c>
      <c r="C74" s="22"/>
      <c r="D74" s="8"/>
      <c r="E74" s="19"/>
      <c r="F74" s="19"/>
      <c r="G74" s="19"/>
      <c r="H74" s="21" t="s">
        <v>33</v>
      </c>
      <c r="I74" s="22"/>
      <c r="J74" s="22"/>
    </row>
    <row r="75" spans="1:10" ht="14.25" customHeight="1" x14ac:dyDescent="0.25">
      <c r="A75" s="8"/>
      <c r="B75" s="8"/>
      <c r="C75" s="8"/>
      <c r="D75" s="8"/>
      <c r="E75" s="18"/>
      <c r="F75" s="18"/>
      <c r="G75" s="18"/>
      <c r="H75" s="23" t="s">
        <v>35</v>
      </c>
      <c r="I75" s="22"/>
      <c r="J75" s="22"/>
    </row>
    <row r="76" spans="1:10" ht="14.25" hidden="1" customHeight="1" x14ac:dyDescent="0.25">
      <c r="A76" s="8"/>
      <c r="B76" s="8"/>
      <c r="C76" s="8"/>
      <c r="D76" s="8"/>
      <c r="E76" s="8"/>
      <c r="F76" s="8"/>
      <c r="G76" s="8"/>
      <c r="H76" s="8"/>
      <c r="I76" s="8"/>
    </row>
    <row r="77" spans="1:10" ht="14.25" hidden="1" customHeight="1" x14ac:dyDescent="0.25">
      <c r="A77" s="8"/>
      <c r="B77" s="8"/>
      <c r="C77" s="8"/>
      <c r="D77" s="9"/>
      <c r="E77" s="8"/>
      <c r="F77" s="8"/>
      <c r="G77" s="8"/>
      <c r="H77" s="8"/>
      <c r="I77" s="8"/>
    </row>
    <row r="78" spans="1:10" ht="14.25" customHeight="1" x14ac:dyDescent="0.25">
      <c r="A78" s="8"/>
      <c r="B78" s="8"/>
      <c r="C78" s="8"/>
      <c r="D78" s="9"/>
      <c r="E78" s="8"/>
      <c r="F78" s="24" t="s">
        <v>31</v>
      </c>
      <c r="G78" s="22"/>
      <c r="H78" s="8"/>
      <c r="I78" s="8"/>
    </row>
    <row r="79" spans="1:10" ht="14.25" customHeight="1" x14ac:dyDescent="0.25">
      <c r="A79" s="8"/>
      <c r="B79" s="8"/>
      <c r="C79" s="8"/>
      <c r="D79" s="9"/>
      <c r="E79" s="8"/>
      <c r="F79" s="24" t="s">
        <v>32</v>
      </c>
      <c r="G79" s="22"/>
      <c r="H79" s="8"/>
      <c r="I79" s="8"/>
    </row>
    <row r="80" spans="1:10" ht="14.25" customHeight="1" x14ac:dyDescent="0.25">
      <c r="A80" s="8"/>
      <c r="B80" s="8"/>
      <c r="C80" s="8"/>
      <c r="D80" s="8"/>
      <c r="E80" s="8"/>
      <c r="F80" s="8"/>
      <c r="G80" s="8"/>
      <c r="H80" s="8"/>
      <c r="I80" s="8"/>
    </row>
    <row r="81" spans="1:9" ht="14.25" customHeight="1" x14ac:dyDescent="0.25">
      <c r="A81" s="8"/>
      <c r="B81" s="8"/>
      <c r="C81" s="8"/>
      <c r="D81" s="8"/>
      <c r="E81" s="8"/>
      <c r="F81" s="8"/>
      <c r="G81" s="8"/>
      <c r="H81" s="8"/>
      <c r="I81" s="8"/>
    </row>
    <row r="82" spans="1:9" ht="14.25" customHeight="1" x14ac:dyDescent="0.25">
      <c r="A82" s="8"/>
      <c r="B82" s="8"/>
      <c r="C82" s="8"/>
      <c r="D82" s="8"/>
      <c r="E82" s="8"/>
      <c r="F82" s="8"/>
      <c r="G82" s="8"/>
      <c r="H82" s="8"/>
      <c r="I82" s="8"/>
    </row>
    <row r="83" spans="1:9" ht="14.25" customHeight="1" x14ac:dyDescent="0.25">
      <c r="A83" s="8"/>
      <c r="B83" s="8"/>
      <c r="C83" s="8"/>
      <c r="D83" s="9"/>
      <c r="E83" s="8"/>
      <c r="F83" s="8"/>
      <c r="G83" s="8"/>
      <c r="H83" s="8"/>
      <c r="I83" s="8"/>
    </row>
    <row r="84" spans="1:9" ht="14.25" customHeight="1" x14ac:dyDescent="0.25">
      <c r="A84" s="8"/>
      <c r="B84" s="8"/>
      <c r="C84" s="8"/>
      <c r="D84" s="20"/>
      <c r="E84" s="8"/>
      <c r="F84" s="21" t="str">
        <f>[1]🏠Home!H8</f>
        <v>Delly Arhadath, S.Pd.</v>
      </c>
      <c r="G84" s="22"/>
      <c r="H84" s="8"/>
      <c r="I84" s="8"/>
    </row>
    <row r="85" spans="1:9" ht="14.25" customHeight="1" x14ac:dyDescent="0.25">
      <c r="A85" s="8"/>
      <c r="B85" s="8"/>
      <c r="C85" s="8"/>
      <c r="D85" s="9"/>
      <c r="E85" s="8"/>
      <c r="F85" s="23" t="s">
        <v>34</v>
      </c>
      <c r="G85" s="22"/>
      <c r="H85" s="8"/>
      <c r="I85" s="8"/>
    </row>
  </sheetData>
  <mergeCells count="95">
    <mergeCell ref="A7:J7"/>
    <mergeCell ref="A1:J1"/>
    <mergeCell ref="A2:J2"/>
    <mergeCell ref="A3:J3"/>
    <mergeCell ref="A4:J4"/>
    <mergeCell ref="A6:J6"/>
    <mergeCell ref="A9:B9"/>
    <mergeCell ref="D10:G10"/>
    <mergeCell ref="A15:A16"/>
    <mergeCell ref="B15:D16"/>
    <mergeCell ref="E15:E16"/>
    <mergeCell ref="F15:F16"/>
    <mergeCell ref="G15:J16"/>
    <mergeCell ref="A19:A20"/>
    <mergeCell ref="B19:D20"/>
    <mergeCell ref="E19:E20"/>
    <mergeCell ref="F19:F20"/>
    <mergeCell ref="G19:J20"/>
    <mergeCell ref="A17:A18"/>
    <mergeCell ref="B17:D18"/>
    <mergeCell ref="E17:E18"/>
    <mergeCell ref="F17:F18"/>
    <mergeCell ref="G17:J18"/>
    <mergeCell ref="A23:A24"/>
    <mergeCell ref="B23:D24"/>
    <mergeCell ref="E23:E24"/>
    <mergeCell ref="F23:F24"/>
    <mergeCell ref="G23:J24"/>
    <mergeCell ref="A21:A22"/>
    <mergeCell ref="B21:D22"/>
    <mergeCell ref="E21:E22"/>
    <mergeCell ref="F21:F22"/>
    <mergeCell ref="G21:J22"/>
    <mergeCell ref="A27:A28"/>
    <mergeCell ref="B27:D28"/>
    <mergeCell ref="E27:E28"/>
    <mergeCell ref="F27:F28"/>
    <mergeCell ref="G27:J28"/>
    <mergeCell ref="A25:A26"/>
    <mergeCell ref="B25:D26"/>
    <mergeCell ref="E25:E26"/>
    <mergeCell ref="F25:F26"/>
    <mergeCell ref="G25:J26"/>
    <mergeCell ref="A31:A32"/>
    <mergeCell ref="B31:D32"/>
    <mergeCell ref="E31:E32"/>
    <mergeCell ref="F31:F32"/>
    <mergeCell ref="G31:J32"/>
    <mergeCell ref="A29:A30"/>
    <mergeCell ref="B29:D30"/>
    <mergeCell ref="E29:E30"/>
    <mergeCell ref="F29:F30"/>
    <mergeCell ref="G29:J30"/>
    <mergeCell ref="H44:I44"/>
    <mergeCell ref="A33:A34"/>
    <mergeCell ref="B33:D34"/>
    <mergeCell ref="E33:E34"/>
    <mergeCell ref="F33:F34"/>
    <mergeCell ref="G33:J34"/>
    <mergeCell ref="A35:A36"/>
    <mergeCell ref="B35:D36"/>
    <mergeCell ref="E35:E36"/>
    <mergeCell ref="F35:F36"/>
    <mergeCell ref="G35:J36"/>
    <mergeCell ref="B40:F40"/>
    <mergeCell ref="H40:I40"/>
    <mergeCell ref="H41:I41"/>
    <mergeCell ref="H42:I42"/>
    <mergeCell ref="H43:I43"/>
    <mergeCell ref="B47:E47"/>
    <mergeCell ref="F47:G47"/>
    <mergeCell ref="B48:E48"/>
    <mergeCell ref="F48:G48"/>
    <mergeCell ref="B49:E49"/>
    <mergeCell ref="F49:G49"/>
    <mergeCell ref="A52:B52"/>
    <mergeCell ref="D52:G52"/>
    <mergeCell ref="A53:B53"/>
    <mergeCell ref="D53:G53"/>
    <mergeCell ref="A54:B54"/>
    <mergeCell ref="D54:G54"/>
    <mergeCell ref="A57:J59"/>
    <mergeCell ref="A62:J64"/>
    <mergeCell ref="B68:C68"/>
    <mergeCell ref="H68:J68"/>
    <mergeCell ref="B69:C69"/>
    <mergeCell ref="H69:J69"/>
    <mergeCell ref="F84:G84"/>
    <mergeCell ref="F85:G85"/>
    <mergeCell ref="B72:C72"/>
    <mergeCell ref="B74:C74"/>
    <mergeCell ref="H74:J74"/>
    <mergeCell ref="H75:J75"/>
    <mergeCell ref="F78:G78"/>
    <mergeCell ref="F79:G79"/>
  </mergeCells>
  <hyperlinks>
    <hyperlink ref="A1" location="'🏠Home'!A1" display="YAYASAN AT-TAUHID AL ISLAMY" xr:uid="{DDF34AFB-59C6-493F-B627-6A4C8134E7B3}"/>
  </hyperlinks>
  <printOptions horizontalCentered="1"/>
  <pageMargins left="0.7" right="0.7" top="0.75" bottom="0.75" header="0" footer="0"/>
  <pageSetup paperSize="9" orientation="portrait" r:id="rId1"/>
  <rowBreaks count="1" manualBreakCount="1">
    <brk id="3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📁Rapor Umum 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 ITA AT TAUHID 29</dc:creator>
  <cp:lastModifiedBy>SD ITA AT TAUHID 29</cp:lastModifiedBy>
  <cp:lastPrinted>2025-12-03T02:54:47Z</cp:lastPrinted>
  <dcterms:created xsi:type="dcterms:W3CDTF">2025-12-03T02:53:19Z</dcterms:created>
  <dcterms:modified xsi:type="dcterms:W3CDTF">2025-12-03T10:11:11Z</dcterms:modified>
</cp:coreProperties>
</file>